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ign Summary" sheetId="1" state="visible" r:id="rId1"/>
    <sheet xmlns:r="http://schemas.openxmlformats.org/officeDocument/2006/relationships" name="Sizing Calculations" sheetId="2" state="visible" r:id="rId2"/>
    <sheet xmlns:r="http://schemas.openxmlformats.org/officeDocument/2006/relationships" name="Inputs &amp; Assumptions" sheetId="3" state="visible" r:id="rId3"/>
    <sheet xmlns:r="http://schemas.openxmlformats.org/officeDocument/2006/relationships" name="Audit" sheetId="4" state="visible" r:id="rId4"/>
  </sheets>
  <definedNames/>
  <calcPr calcId="124519" fullCalcOnLoad="1"/>
</workbook>
</file>

<file path=xl/styles.xml><?xml version="1.0" encoding="utf-8"?>
<styleSheet xmlns="http://schemas.openxmlformats.org/spreadsheetml/2006/main">
  <numFmts count="1">
    <numFmt numFmtId="164" formatCode="0.000"/>
  </numFmts>
  <fonts count="4">
    <font>
      <name val="Calibri"/>
      <family val="2"/>
      <color theme="1"/>
      <sz val="11"/>
      <scheme val="minor"/>
    </font>
    <font>
      <name val="Calibri"/>
      <b val="1"/>
      <color rgb="0017365D"/>
      <sz val="14"/>
    </font>
    <font>
      <name val="Calibri"/>
      <b val="1"/>
      <color rgb="00FFFFFF"/>
    </font>
    <font>
      <b val="1"/>
      <color rgb="0017365D"/>
    </font>
  </fonts>
  <fills count="6">
    <fill>
      <patternFill/>
    </fill>
    <fill>
      <patternFill patternType="gray125"/>
    </fill>
    <fill>
      <patternFill patternType="solid">
        <fgColor rgb="0017365D"/>
      </patternFill>
    </fill>
    <fill>
      <patternFill patternType="solid">
        <fgColor rgb="00FFF2CC"/>
      </patternFill>
    </fill>
    <fill>
      <patternFill patternType="solid">
        <fgColor rgb="00EAF3F8"/>
      </patternFill>
    </fill>
    <fill>
      <patternFill patternType="solid">
        <fgColor rgb="00D9EAF7"/>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3" fillId="5" borderId="0" pivotButton="0" quotePrefix="0" xfId="0"/>
    <xf numFmtId="0" fontId="0" fillId="5" borderId="0" pivotButton="0" quotePrefix="0" xfId="0"/>
    <xf numFmtId="0" fontId="2" fillId="2" borderId="0" pivotButton="0" quotePrefix="0" xfId="0"/>
    <xf numFmtId="164" fontId="0" fillId="0" borderId="0" pivotButton="0" quotePrefix="0" xfId="0"/>
    <xf numFmtId="0" fontId="0" fillId="3" borderId="0" applyAlignment="1" pivotButton="0" quotePrefix="0" xfId="0">
      <alignment vertical="center" wrapText="1"/>
    </xf>
    <xf numFmtId="164" fontId="0" fillId="4" borderId="0" applyAlignment="1" pivotButton="0" quotePrefix="0" xfId="0">
      <alignment vertical="center" wrapText="1"/>
    </xf>
    <xf numFmtId="164" fontId="0" fillId="4" borderId="0" pivotButton="0" quotePrefix="0" xfId="0"/>
    <xf numFmtId="0" fontId="0" fillId="3" borderId="0" pivotButton="0" quotePrefix="0" xfId="0"/>
    <xf numFmtId="0" fontId="0"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workbookViewId="0">
      <pane ySplit="6" topLeftCell="A7" activePane="bottomLeft" state="frozen"/>
      <selection pane="bottomLeft" activeCell="A1" sqref="A1"/>
    </sheetView>
  </sheetViews>
  <sheetFormatPr baseColWidth="8" defaultRowHeight="15"/>
  <cols>
    <col width="36" customWidth="1" min="1" max="1"/>
    <col width="56" customWidth="1" min="2" max="2"/>
    <col width="18" customWidth="1" min="3" max="3"/>
    <col width="56" customWidth="1" min="4" max="4"/>
  </cols>
  <sheetData>
    <row r="1"/>
    <row r="2">
      <c r="A2" s="1" t="inlineStr">
        <is>
          <t>HIC Chromatography — Preliminary column Basis</t>
        </is>
      </c>
    </row>
    <row r="3"/>
    <row r="4">
      <c r="A4" s="2" t="inlineStr">
        <is>
          <t>Size a reusable sanitary HIC column for a screening target load of 10 kg protein per cycle using the validated usable-capacity, bed-height, residence-time, pressure-class, connection, and envelope bases.</t>
        </is>
      </c>
    </row>
    <row r="5"/>
    <row r="6">
      <c r="A6" s="3" t="inlineStr">
        <is>
          <t>Recommended preliminary configuration</t>
        </is>
      </c>
      <c r="B6" s="4" t="n"/>
      <c r="C6" s="4" t="n"/>
      <c r="D6" s="4" t="n"/>
    </row>
    <row r="7">
      <c r="A7" s="5" t="inlineStr">
        <is>
          <t>Item</t>
        </is>
      </c>
      <c r="B7" s="5" t="inlineStr">
        <is>
          <t>Preliminary basis</t>
        </is>
      </c>
      <c r="C7" s="5" t="inlineStr">
        <is>
          <t>Unit</t>
        </is>
      </c>
    </row>
    <row r="8">
      <c r="A8" t="inlineStr">
        <is>
          <t>Required screening packed-resin volume</t>
        </is>
      </c>
      <c r="B8" s="6">
        <f>'Sizing Calculations'!C9</f>
        <v/>
      </c>
      <c r="C8" t="inlineStr">
        <is>
          <t>L</t>
        </is>
      </c>
    </row>
    <row r="9">
      <c r="A9" t="inlineStr">
        <is>
          <t>Selected screening bed height</t>
        </is>
      </c>
      <c r="B9" s="6">
        <f>'Inputs &amp; Assumptions'!B15</f>
        <v/>
      </c>
      <c r="C9" t="inlineStr">
        <is>
          <t>m</t>
        </is>
      </c>
    </row>
    <row r="10">
      <c r="A10" t="inlineStr">
        <is>
          <t>Calculated unrounded internal diameter</t>
        </is>
      </c>
      <c r="B10" s="6">
        <f>'Sizing Calculations'!C13</f>
        <v/>
      </c>
      <c r="C10" t="inlineStr">
        <is>
          <t>m</t>
        </is>
      </c>
    </row>
    <row r="11">
      <c r="A11" t="inlineStr">
        <is>
          <t>Main process inlet and outlet nominal size</t>
        </is>
      </c>
      <c r="B11" s="6">
        <f>'Inputs &amp; Assumptions'!B20</f>
        <v/>
      </c>
      <c r="C11" t="inlineStr">
        <is>
          <t>in</t>
        </is>
      </c>
    </row>
    <row r="12">
      <c r="A12" t="inlineStr">
        <is>
          <t>Preliminary minimum pressure rating</t>
        </is>
      </c>
      <c r="B12" s="6">
        <f>'Inputs &amp; Assumptions'!B19</f>
        <v/>
      </c>
      <c r="C12" t="inlineStr">
        <is>
          <t>barg</t>
        </is>
      </c>
    </row>
    <row r="13">
      <c r="A13" t="inlineStr">
        <is>
          <t>Concept</t>
        </is>
      </c>
      <c r="B13" s="2" t="inlineStr">
        <is>
          <t>Reusable fixed sanitary HIC column with in-place packing and cleaning; final vendor model and dimensions TBD</t>
        </is>
      </c>
      <c r="C13" t="inlineStr"/>
    </row>
    <row r="14"/>
    <row r="15">
      <c r="A15" s="3" t="inlineStr">
        <is>
          <t>Key screening results</t>
        </is>
      </c>
      <c r="B15" s="4" t="n"/>
      <c r="C15" s="4" t="n"/>
      <c r="D15" s="4" t="n"/>
    </row>
    <row r="16">
      <c r="A16" s="5" t="inlineStr">
        <is>
          <t>Metric</t>
        </is>
      </c>
      <c r="B16" s="5" t="inlineStr">
        <is>
          <t>Result</t>
        </is>
      </c>
      <c r="C16" s="5" t="inlineStr">
        <is>
          <t>Unit</t>
        </is>
      </c>
      <c r="D16" s="5" t="inlineStr">
        <is>
          <t>Interpretation</t>
        </is>
      </c>
    </row>
    <row r="17">
      <c r="A17" t="inlineStr">
        <is>
          <t>Nominal conservative mass capacity</t>
        </is>
      </c>
      <c r="B17" s="6">
        <f>'Sizing Calculations'!C14</f>
        <v/>
      </c>
      <c r="C17" t="inlineStr">
        <is>
          <t>kg/cycle</t>
        </is>
      </c>
      <c r="D17" s="2" t="inlineStr">
        <is>
          <t>Equals the target at the 25 mg/mL screening boundary; no credited margin.</t>
        </is>
      </c>
    </row>
    <row r="18">
      <c r="A18" t="inlineStr">
        <is>
          <t>Capacity margin</t>
        </is>
      </c>
      <c r="B18" s="6">
        <f>'Sizing Calculations'!C15</f>
        <v/>
      </c>
      <c r="C18" t="inlineStr">
        <is>
          <t>%</t>
        </is>
      </c>
      <c r="D18" s="2" t="inlineStr">
        <is>
          <t>Project design margin remains undefined.</t>
        </is>
      </c>
    </row>
    <row r="19">
      <c r="A19" t="inlineStr">
        <is>
          <t>Loading flow at selected residence time</t>
        </is>
      </c>
      <c r="B19" s="6">
        <f>'Sizing Calculations'!C16</f>
        <v/>
      </c>
      <c r="C19" t="inlineStr">
        <is>
          <t>L/min</t>
        </is>
      </c>
      <c r="D19" s="2" t="inlineStr">
        <is>
          <t>Must be reconciled with condition-specific capacity and resin hydraulics.</t>
        </is>
      </c>
    </row>
    <row r="20">
      <c r="A20" t="inlineStr">
        <is>
          <t>Three-minute boundary flow</t>
        </is>
      </c>
      <c r="B20" s="6">
        <f>'Sizing Calculations'!C17</f>
        <v/>
      </c>
      <c r="C20" t="inlineStr">
        <is>
          <t>L/min</t>
        </is>
      </c>
      <c r="D20" s="2" t="inlineStr">
        <is>
          <t>Boundary only; actual permitted loading flow is lower because the DIR residence time is greater than 3 min.</t>
        </is>
      </c>
    </row>
    <row r="21">
      <c r="A21" t="inlineStr">
        <is>
          <t>Loading superficial velocity</t>
        </is>
      </c>
      <c r="B21" s="6">
        <f>'Sizing Calculations'!C18</f>
        <v/>
      </c>
      <c r="C21" t="inlineStr">
        <is>
          <t>cm/h</t>
        </is>
      </c>
      <c r="D21" s="2" t="inlineStr">
        <is>
          <t>Requires resin supplier pressure-flow and performance confirmation.</t>
        </is>
      </c>
    </row>
    <row r="22">
      <c r="A22" t="inlineStr">
        <is>
          <t>Main connection liquid velocity</t>
        </is>
      </c>
      <c r="B22" s="6">
        <f>'Sizing Calculations'!C21</f>
        <v/>
      </c>
      <c r="C22" t="inlineStr">
        <is>
          <t>m/s</t>
        </is>
      </c>
      <c r="D22" s="2" t="inlineStr">
        <is>
          <t>Screened against the assumed 2 m/s upper line-velocity criterion.</t>
        </is>
      </c>
    </row>
    <row r="23">
      <c r="A23" t="inlineStr">
        <is>
          <t>Reference main-connection local loss</t>
        </is>
      </c>
      <c r="B23" s="6">
        <f>'Sizing Calculations'!C22</f>
        <v/>
      </c>
      <c r="C23" t="inlineStr">
        <is>
          <t>bar</t>
        </is>
      </c>
      <c r="D23" s="2" t="inlineStr">
        <is>
          <t>Water-like local loss only; not total column differential pressure.</t>
        </is>
      </c>
    </row>
    <row r="24">
      <c r="A24" t="inlineStr">
        <is>
          <t>Estimated slurry volume</t>
        </is>
      </c>
      <c r="B24" s="6">
        <f>'Sizing Calculations'!C25</f>
        <v/>
      </c>
      <c r="C24" t="inlineStr">
        <is>
          <t>L</t>
        </is>
      </c>
      <c r="D24" s="2" t="inlineStr">
        <is>
          <t>Based on an assumed 50% settled-resin fraction.</t>
        </is>
      </c>
    </row>
    <row r="25"/>
    <row r="26">
      <c r="A26" s="3" t="inlineStr">
        <is>
          <t>Engineering conclusion and limitations</t>
        </is>
      </c>
      <c r="B26" s="4" t="n"/>
      <c r="C26" s="4" t="n"/>
      <c r="D26" s="4" t="n"/>
    </row>
    <row r="27" ht="64" customHeight="1">
      <c r="A27" s="7" t="inlineStr">
        <is>
          <t>The capacity screen supports a 400 L reusable sanitary HIC column with a selected 30 cm bed and a calculated unrounded internal diameter of approximately 1.303 m. This is not a final equipment selection: the result has no credited capacity margin at 25 mg/mL, and processing time, pressure drop, distributor performance, final nozzle sizing, pressure rating, and certified envelope cannot be closed with the available inputs. The datasheet is an initial draft pending process SME, resin supplier, and column vendor approval.</t>
        </is>
      </c>
    </row>
    <row r="28"/>
    <row r="29">
      <c r="A29" s="3" t="inlineStr">
        <is>
          <t>Critical vendor-confirmation items</t>
        </is>
      </c>
      <c r="B29" s="4" t="n"/>
      <c r="C29" s="4" t="n"/>
      <c r="D29" s="4" t="n"/>
    </row>
    <row r="30">
      <c r="A30" s="5" t="inlineStr">
        <is>
          <t>No.</t>
        </is>
      </c>
      <c r="B30" s="5" t="inlineStr">
        <is>
          <t>Item</t>
        </is>
      </c>
      <c r="C30" s="5" t="inlineStr">
        <is>
          <t>Why it matters</t>
        </is>
      </c>
      <c r="D30" s="5" t="inlineStr">
        <is>
          <t>Required confirmation</t>
        </is>
      </c>
    </row>
    <row r="31">
      <c r="A31" t="n">
        <v>1</v>
      </c>
      <c r="B31" t="inlineStr">
        <is>
          <t>Resin capacity basis</t>
        </is>
      </c>
      <c r="C31" s="2" t="inlineStr">
        <is>
          <t>The screening uses the DIR usable-capacity range rather than condition-specific development data.</t>
        </is>
      </c>
      <c r="D31" s="2" t="inlineStr">
        <is>
          <t>Confirm DBC or usable capacity at actual protein, impurity load, salt, pH, conductivity, temperature, residence time, and breakthrough criterion.</t>
        </is>
      </c>
    </row>
    <row r="32">
      <c r="A32" t="n">
        <v>2</v>
      </c>
      <c r="B32" t="inlineStr">
        <is>
          <t>Resin hydraulic limits</t>
        </is>
      </c>
      <c r="C32" s="2" t="inlineStr">
        <is>
          <t>Packed-bed differential pressure is not calculable from available data.</t>
        </is>
      </c>
      <c r="D32" s="2" t="inlineStr">
        <is>
          <t>Confirm particle size, compressibility, swelling, allowable velocity, pressure-flow curve, bed-height range, packing pressure, and cleaning limits.</t>
        </is>
      </c>
    </row>
    <row r="33">
      <c r="A33" t="n">
        <v>3</v>
      </c>
      <c r="B33" t="inlineStr">
        <is>
          <t>Column geometry and availability</t>
        </is>
      </c>
      <c r="C33" s="2" t="inlineStr">
        <is>
          <t>The 1.303 m diameter is an unrounded calculation rather than a vendor model.</t>
        </is>
      </c>
      <c r="D33" s="2" t="inlineStr">
        <is>
          <t>Select an available diameter and adapter range that provide at least 400 L at a DIR-compliant bed height.</t>
        </is>
      </c>
    </row>
    <row r="34">
      <c r="A34" t="n">
        <v>4</v>
      </c>
      <c r="B34" t="inlineStr">
        <is>
          <t>Pressure rating</t>
        </is>
      </c>
      <c r="C34" s="2" t="inlineStr">
        <is>
          <t>The DIR pressure class does not define whether pressure is inlet, differential, MAWP, or another basis.</t>
        </is>
      </c>
      <c r="D34" s="2" t="inlineStr">
        <is>
          <t>Confirm hardware MAWP, allowable bed differential pressure, packing pressure, transient pressure, clamp derating, design temperature, test pressure, and vacuum capability.</t>
        </is>
      </c>
    </row>
    <row r="35">
      <c r="A35" t="n">
        <v>5</v>
      </c>
      <c r="B35" t="inlineStr">
        <is>
          <t>Distributors and connections</t>
        </is>
      </c>
      <c r="C35" s="2" t="inlineStr">
        <is>
          <t>Nozzle calculations exclude distributors, frits, valves, reducers, and minimum-flow turndown.</t>
        </is>
      </c>
      <c r="D35" s="2" t="inlineStr">
        <is>
          <t>Confirm distributor uniformity and turndown, nozzle bores, local losses, final sanitary interfaces, drainability, and cleanability.</t>
        </is>
      </c>
    </row>
    <row r="36">
      <c r="A36" t="n">
        <v>6</v>
      </c>
      <c r="B36" t="inlineStr">
        <is>
          <t>Packing and unpacking ports</t>
        </is>
      </c>
      <c r="C36" s="2" t="inlineStr">
        <is>
          <t>Slurry fraction and transfer rate are assumptions.</t>
        </is>
      </c>
      <c r="D36" s="2" t="inlineStr">
        <is>
          <t>Confirm resin slurry concentration, charging method, discharge method, transfer flow, hose size, valve type, and required port sizes.</t>
        </is>
      </c>
    </row>
    <row r="37">
      <c r="A37" t="n">
        <v>7</v>
      </c>
      <c r="B37" t="inlineStr">
        <is>
          <t>Certified equipment envelope</t>
        </is>
      </c>
      <c r="C37" s="2" t="inlineStr">
        <is>
          <t>The supplied envelope is a generic estimate based on a nonselected 20 cm bed geometry.</t>
        </is>
      </c>
      <c r="D37" s="2" t="inlineStr">
        <is>
          <t>Provide certified installed and shipping dimensions, operating weight, floor reactions, center of gravity, adapter travel, maintenance clearances, shipping splits, and lifting provisions.</t>
        </is>
      </c>
    </row>
  </sheetData>
  <mergeCells count="1">
    <mergeCell ref="A27:D2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6" topLeftCell="A7" activePane="bottomLeft" state="frozen"/>
      <selection pane="bottomLeft" activeCell="A1" sqref="A1"/>
    </sheetView>
  </sheetViews>
  <sheetFormatPr baseColWidth="8" defaultRowHeight="15"/>
  <cols>
    <col width="34" customWidth="1" min="1" max="1"/>
    <col width="42" customWidth="1" min="2" max="2"/>
    <col width="22" customWidth="1" min="3" max="3"/>
    <col width="16" customWidth="1" min="4" max="4"/>
    <col width="48" customWidth="1" min="5" max="5"/>
    <col width="22" customWidth="1" min="6" max="6"/>
  </cols>
  <sheetData>
    <row r="1"/>
    <row r="2">
      <c r="A2" s="1" t="inlineStr">
        <is>
          <t>Sizing Calculations</t>
        </is>
      </c>
    </row>
    <row r="3"/>
    <row r="4">
      <c r="A4" s="2" t="inlineStr">
        <is>
          <t>Preliminary sizing screen. All blue-value cells contain visible Excel formulas.</t>
        </is>
      </c>
    </row>
    <row r="5"/>
    <row r="6">
      <c r="A6" s="5" t="inlineStr">
        <is>
          <t>Calculation</t>
        </is>
      </c>
      <c r="B6" s="5" t="inlineStr">
        <is>
          <t>Formula / method</t>
        </is>
      </c>
      <c r="C6" s="5" t="inlineStr">
        <is>
          <t>Result</t>
        </is>
      </c>
      <c r="D6" s="5" t="inlineStr">
        <is>
          <t>Unit</t>
        </is>
      </c>
      <c r="E6" s="5" t="inlineStr">
        <is>
          <t>Acceptance / interpretation</t>
        </is>
      </c>
      <c r="F6" s="5" t="inlineStr">
        <is>
          <t>Status</t>
        </is>
      </c>
    </row>
    <row r="7">
      <c r="A7" t="inlineStr">
        <is>
          <t>Target protein mass conversion</t>
        </is>
      </c>
      <c r="B7" s="2" t="inlineStr">
        <is>
          <t>Target mass multiplied by milligrams per kilogram</t>
        </is>
      </c>
      <c r="C7" s="8">
        <f>'Inputs &amp; Assumptions'!B7*'Inputs &amp; Assumptions'!B8</f>
        <v/>
      </c>
      <c r="D7" t="inlineStr">
        <is>
          <t>mg/cycle</t>
        </is>
      </c>
      <c r="E7" s="2" t="inlineStr">
        <is>
          <t>Traceable conversion of the per-cycle target load</t>
        </is>
      </c>
    </row>
    <row r="8">
      <c r="A8" s="2" t="inlineStr">
        <is>
          <t>Required bed volume at conservative usable capacity</t>
        </is>
      </c>
      <c r="B8" s="2" t="inlineStr">
        <is>
          <t>Target mass divided by conservative usable capacity</t>
        </is>
      </c>
      <c r="C8" s="9">
        <f>C7/'Inputs &amp; Assumptions'!B11</f>
        <v/>
      </c>
      <c r="D8" t="inlineStr">
        <is>
          <t>mL</t>
        </is>
      </c>
      <c r="E8" s="2" t="inlineStr">
        <is>
          <t>Governing capacity volume before vendor-size rounding</t>
        </is>
      </c>
    </row>
    <row r="9">
      <c r="A9" t="inlineStr">
        <is>
          <t>Selected screening packed-bed volume</t>
        </is>
      </c>
      <c r="B9" s="2" t="inlineStr">
        <is>
          <t>Conservative required volume converted from millilitres to litres</t>
        </is>
      </c>
      <c r="C9" s="9">
        <f>C8/'Inputs &amp; Assumptions'!B9</f>
        <v/>
      </c>
      <c r="D9" t="inlineStr">
        <is>
          <t>L</t>
        </is>
      </c>
      <c r="E9" s="2" t="inlineStr">
        <is>
          <t>Must provide at least the calculated conservative capacity requirement</t>
        </is>
      </c>
    </row>
    <row r="10">
      <c r="A10" t="inlineStr">
        <is>
          <t>Required bed volume at upper usable capacity</t>
        </is>
      </c>
      <c r="B10" s="2" t="inlineStr">
        <is>
          <t>Target mass divided by upper usable capacity and converted to litres</t>
        </is>
      </c>
      <c r="C10" s="8">
        <f>C7/'Inputs &amp; Assumptions'!B12/'Inputs &amp; Assumptions'!B9</f>
        <v/>
      </c>
      <c r="D10" t="inlineStr">
        <is>
          <t>L</t>
        </is>
      </c>
      <c r="E10" s="2" t="inlineStr">
        <is>
          <t>Defines the lower end of the DIR capacity-volume range</t>
        </is>
      </c>
    </row>
    <row r="11">
      <c r="A11" t="inlineStr">
        <is>
          <t>Selected packed-bed volume in cubic metres</t>
        </is>
      </c>
      <c r="B11" s="2" t="inlineStr">
        <is>
          <t>Selected volume divided by litres per cubic metre</t>
        </is>
      </c>
      <c r="C11" s="9">
        <f>C9/'Inputs &amp; Assumptions'!B10</f>
        <v/>
      </c>
      <c r="D11" t="inlineStr">
        <is>
          <t>m³</t>
        </is>
      </c>
      <c r="E11" s="2" t="inlineStr">
        <is>
          <t>Unit conversion for geometry calculations</t>
        </is>
      </c>
    </row>
    <row r="12">
      <c r="A12" t="inlineStr">
        <is>
          <t>Required column cross-sectional area</t>
        </is>
      </c>
      <c r="B12" s="2" t="inlineStr">
        <is>
          <t>Packed-bed volume divided by selected packed-bed height</t>
        </is>
      </c>
      <c r="C12" s="9">
        <f>C11/'Inputs &amp; Assumptions'!B15</f>
        <v/>
      </c>
      <c r="D12" t="inlineStr">
        <is>
          <t>m²</t>
        </is>
      </c>
      <c r="E12" s="2" t="inlineStr">
        <is>
          <t>Selected bed height must satisfy the validated DIR range</t>
        </is>
      </c>
      <c r="F12" s="2">
        <f>IF(AND('Inputs &amp; Assumptions'!B15&gt;'Inputs &amp; Assumptions'!B13,'Inputs &amp; Assumptions'!B15&lt;='Inputs &amp; Assumptions'!B14),"MEETS SCREEN","REVIEW")</f>
        <v/>
      </c>
    </row>
    <row r="13">
      <c r="A13" t="inlineStr">
        <is>
          <t>Calculated column internal diameter</t>
        </is>
      </c>
      <c r="B13" s="2" t="inlineStr">
        <is>
          <t>Square root of four times area divided by pi</t>
        </is>
      </c>
      <c r="C13" s="9">
        <f>SQRT(4*C12/PI())</f>
        <v/>
      </c>
      <c r="D13" t="inlineStr">
        <is>
          <t>m</t>
        </is>
      </c>
      <c r="E13" s="2" t="inlineStr">
        <is>
          <t>Vendor-selected diameter must retain at least the required volume at a compliant bed height</t>
        </is>
      </c>
      <c r="F13" t="inlineStr">
        <is>
          <t>VENDOR CONFIRM</t>
        </is>
      </c>
    </row>
    <row r="14">
      <c r="A14" s="2" t="inlineStr">
        <is>
          <t>Nominal usable mass capacity at conservative capacity</t>
        </is>
      </c>
      <c r="B14" s="2" t="inlineStr">
        <is>
          <t>Bed volume multiplied by millilitres per litre and usable capacity, converted to kilograms</t>
        </is>
      </c>
      <c r="C14" s="8">
        <f>C9*'Inputs &amp; Assumptions'!B9*'Inputs &amp; Assumptions'!B11/'Inputs &amp; Assumptions'!B8</f>
        <v/>
      </c>
      <c r="D14" t="inlineStr">
        <is>
          <t>kg/cycle</t>
        </is>
      </c>
      <c r="E14" s="2" t="inlineStr">
        <is>
          <t>Must be greater than or equal to target mass per cycle</t>
        </is>
      </c>
      <c r="F14" s="2">
        <f>IF(C14&gt;='Inputs &amp; Assumptions'!B7,"MEETS SCREEN","REVIEW")</f>
        <v/>
      </c>
    </row>
    <row r="15">
      <c r="A15" t="inlineStr">
        <is>
          <t>Nominal conservative capacity margin</t>
        </is>
      </c>
      <c r="B15" s="2" t="inlineStr">
        <is>
          <t>Nominal capacity minus target load, divided by target load</t>
        </is>
      </c>
      <c r="C15" s="8">
        <f>(C14-'Inputs &amp; Assumptions'!B7)/'Inputs &amp; Assumptions'!B7*100</f>
        <v/>
      </c>
      <c r="D15" t="inlineStr">
        <is>
          <t>%</t>
        </is>
      </c>
      <c r="E15" s="2" t="inlineStr">
        <is>
          <t>Project-required margin is not defined; zero margin is not suitable for design freeze</t>
        </is>
      </c>
      <c r="F15">
        <f>IF(C15&gt;0,"POSITIVE","NO CREDITED MARGIN")</f>
        <v/>
      </c>
    </row>
    <row r="16">
      <c r="A16" t="inlineStr">
        <is>
          <t>Screening loading flow</t>
        </is>
      </c>
      <c r="B16" s="2" t="inlineStr">
        <is>
          <t>Selected packed-bed volume divided by selected residence time</t>
        </is>
      </c>
      <c r="C16" s="9">
        <f>C9/'Inputs &amp; Assumptions'!B18</f>
        <v/>
      </c>
      <c r="D16" t="inlineStr">
        <is>
          <t>L/min</t>
        </is>
      </c>
      <c r="E16" s="2" t="inlineStr">
        <is>
          <t>Selected residence time must remain within the validated range and match the capacity basis</t>
        </is>
      </c>
      <c r="F16" s="2">
        <f>IF(AND('Inputs &amp; Assumptions'!B18&gt;'Inputs &amp; Assumptions'!B16,'Inputs &amp; Assumptions'!B18&lt;='Inputs &amp; Assumptions'!B17),"MEETS SCREEN","REVIEW")</f>
        <v/>
      </c>
    </row>
    <row r="17">
      <c r="A17" t="inlineStr">
        <is>
          <t>Flow at minimum residence-time boundary</t>
        </is>
      </c>
      <c r="B17" s="2" t="inlineStr">
        <is>
          <t>Selected packed-bed volume divided by the DIR minimum-time boundary</t>
        </is>
      </c>
      <c r="C17" s="9">
        <f>C9/'Inputs &amp; Assumptions'!B16</f>
        <v/>
      </c>
      <c r="D17" t="inlineStr">
        <is>
          <t>L/min</t>
        </is>
      </c>
      <c r="E17" s="2" t="inlineStr">
        <is>
          <t>Boundary only; actual loading flow must be lower because residence time must be greater than the boundary</t>
        </is>
      </c>
      <c r="F17" t="inlineStr">
        <is>
          <t>BOUNDARY ONLY</t>
        </is>
      </c>
    </row>
    <row r="18">
      <c r="A18" t="inlineStr">
        <is>
          <t>Loading superficial velocity</t>
        </is>
      </c>
      <c r="B18" s="2" t="inlineStr">
        <is>
          <t>Selected bed height divided by residence time and converted from metres per minute to centimetres per hour</t>
        </is>
      </c>
      <c r="C18" s="8">
        <f>'Inputs &amp; Assumptions'!B15/'Inputs &amp; Assumptions'!B18*100*60</f>
        <v/>
      </c>
      <c r="D18" t="inlineStr">
        <is>
          <t>cm/h</t>
        </is>
      </c>
      <c r="E18" s="2" t="inlineStr">
        <is>
          <t>Must be within resin pressure-flow and performance limits</t>
        </is>
      </c>
      <c r="F18" t="inlineStr">
        <is>
          <t>VENDOR CONFIRM</t>
        </is>
      </c>
    </row>
    <row r="19">
      <c r="A19" t="inlineStr">
        <is>
          <t>Boundary process flow conversion</t>
        </is>
      </c>
      <c r="B19" s="2" t="inlineStr">
        <is>
          <t>Boundary flow converted from litres per minute to cubic metres per second</t>
        </is>
      </c>
      <c r="C19" s="9">
        <f>C17/'Inputs &amp; Assumptions'!B10/60</f>
        <v/>
      </c>
      <c r="D19" t="inlineStr">
        <is>
          <t>m³/s</t>
        </is>
      </c>
      <c r="E19" s="2" t="inlineStr">
        <is>
          <t>Conversion used for connection screening</t>
        </is>
      </c>
    </row>
    <row r="20">
      <c r="A20" t="inlineStr">
        <is>
          <t>Main connection flow area</t>
        </is>
      </c>
      <c r="B20" s="2" t="inlineStr">
        <is>
          <t>Pi times assumed bore squared divided by four</t>
        </is>
      </c>
      <c r="C20" s="9">
        <f>PI()*'Inputs &amp; Assumptions'!B21^2/4</f>
        <v/>
      </c>
      <c r="D20" t="inlineStr">
        <is>
          <t>m²</t>
        </is>
      </c>
      <c r="E20" s="2" t="inlineStr">
        <is>
          <t>Final bore must be based on the selected sanitary tube and ferrule schedule</t>
        </is>
      </c>
      <c r="F20" t="inlineStr">
        <is>
          <t>VENDOR CONFIRM</t>
        </is>
      </c>
    </row>
    <row r="21">
      <c r="A21" t="inlineStr">
        <is>
          <t>Main inlet and outlet velocity</t>
        </is>
      </c>
      <c r="B21" s="2" t="inlineStr">
        <is>
          <t>Boundary volumetric flow divided by connection flow area</t>
        </is>
      </c>
      <c r="C21" s="9">
        <f>C19/C20</f>
        <v/>
      </c>
      <c r="D21" t="inlineStr">
        <is>
          <t>m/s</t>
        </is>
      </c>
      <c r="E21" s="2" t="inlineStr">
        <is>
          <t>Must not exceed the preliminary hygienic liquid-line velocity limit</t>
        </is>
      </c>
      <c r="F21" s="2">
        <f>IF(C21&lt;='Inputs &amp; Assumptions'!B22,"MEETS SCREEN","REVIEW")</f>
        <v/>
      </c>
    </row>
    <row r="22">
      <c r="A22" t="inlineStr">
        <is>
          <t>Main connection local pressure loss</t>
        </is>
      </c>
      <c r="B22" s="2" t="inlineStr">
        <is>
          <t>Local-loss coefficient times density times velocity squared divided by two and converted to bar</t>
        </is>
      </c>
      <c r="C22" s="8">
        <f>'Inputs &amp; Assumptions'!B23*'Inputs &amp; Assumptions'!B24*C21^2/2/'Inputs &amp; Assumptions'!B25</f>
        <v/>
      </c>
      <c r="D22" t="inlineStr">
        <is>
          <t>bar</t>
        </is>
      </c>
      <c r="E22" s="2" t="inlineStr">
        <is>
          <t>Reference-only loss; distributor, frit, bed, valves, reducers, and external piping remain excluded</t>
        </is>
      </c>
      <c r="F22" t="inlineStr">
        <is>
          <t>REFERENCE ONLY</t>
        </is>
      </c>
    </row>
    <row r="23">
      <c r="A23" t="inlineStr">
        <is>
          <t>Vent flow area</t>
        </is>
      </c>
      <c r="B23" s="2" t="inlineStr">
        <is>
          <t>Pi times assumed vent bore squared divided by four</t>
        </is>
      </c>
      <c r="C23" s="9">
        <f>PI()*'Inputs &amp; Assumptions'!B27^2/4</f>
        <v/>
      </c>
      <c r="D23" t="inlineStr">
        <is>
          <t>m²</t>
        </is>
      </c>
      <c r="E23" s="2" t="inlineStr">
        <is>
          <t>Vendor must verify gas-flow capacity and sanitary vent arrangement</t>
        </is>
      </c>
      <c r="F23" t="inlineStr">
        <is>
          <t>VENDOR CONFIRM</t>
        </is>
      </c>
    </row>
    <row r="24">
      <c r="A24" t="inlineStr">
        <is>
          <t>Vent displacement-air velocity</t>
        </is>
      </c>
      <c r="B24" s="2" t="inlineStr">
        <is>
          <t>Boundary displacement flow divided by vent area</t>
        </is>
      </c>
      <c r="C24" s="9">
        <f>C19/C23</f>
        <v/>
      </c>
      <c r="D24" t="inlineStr">
        <is>
          <t>m/s</t>
        </is>
      </c>
      <c r="E24" s="2" t="inlineStr">
        <is>
          <t>Screening only; verify filter, valve, pressure, and vacuum cases</t>
        </is>
      </c>
      <c r="F24" t="inlineStr">
        <is>
          <t>VENDOR CONFIRM</t>
        </is>
      </c>
    </row>
    <row r="25">
      <c r="A25" t="inlineStr">
        <is>
          <t>Estimated resin slurry volume</t>
        </is>
      </c>
      <c r="B25" s="2" t="inlineStr">
        <is>
          <t>Selected packed-resin volume divided by settled-resin fraction</t>
        </is>
      </c>
      <c r="C25" s="9">
        <f>C9/'Inputs &amp; Assumptions'!B31</f>
        <v/>
      </c>
      <c r="D25" t="inlineStr">
        <is>
          <t>L</t>
        </is>
      </c>
      <c r="E25" s="2" t="inlineStr">
        <is>
          <t>Replace with resin supplier and packing-procedure data</t>
        </is>
      </c>
      <c r="F25" t="inlineStr">
        <is>
          <t>VENDOR CONFIRM</t>
        </is>
      </c>
    </row>
    <row r="26">
      <c r="A26" t="inlineStr">
        <is>
          <t>Estimated slurry transfer duration</t>
        </is>
      </c>
      <c r="B26" s="2" t="inlineStr">
        <is>
          <t>Estimated slurry volume divided by assumed slurry flow</t>
        </is>
      </c>
      <c r="C26" s="9">
        <f>C25/'Inputs &amp; Assumptions'!B32</f>
        <v/>
      </c>
      <c r="D26" t="inlineStr">
        <is>
          <t>min</t>
        </is>
      </c>
      <c r="E26" s="2" t="inlineStr">
        <is>
          <t>Must be compatible with resin shear, settling, hose, valve, and packing limits</t>
        </is>
      </c>
      <c r="F26" t="inlineStr">
        <is>
          <t>VENDOR CONFIRM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9"/>
  <sheetViews>
    <sheetView workbookViewId="0">
      <pane ySplit="6" topLeftCell="A7" activePane="bottomLeft" state="frozen"/>
      <selection pane="bottomLeft" activeCell="A1" sqref="A1"/>
    </sheetView>
  </sheetViews>
  <sheetFormatPr baseColWidth="8" defaultRowHeight="15"/>
  <cols>
    <col width="36" customWidth="1" min="1" max="1"/>
    <col width="22" customWidth="1" min="2" max="2"/>
    <col width="18" customWidth="1" min="3" max="3"/>
    <col width="48" customWidth="1" min="4" max="4"/>
    <col width="18" customWidth="1" min="5" max="5"/>
  </cols>
  <sheetData>
    <row r="1"/>
    <row r="2">
      <c r="A2" s="1" t="inlineStr">
        <is>
          <t>HIC Chromatography — Inputs and Assumptions</t>
        </is>
      </c>
    </row>
    <row r="3"/>
    <row r="4">
      <c r="A4" s="2" t="inlineStr">
        <is>
          <t>Yellow cells are editable. Calculated sheets use Excel formulas.</t>
        </is>
      </c>
    </row>
    <row r="5"/>
    <row r="6">
      <c r="A6" s="5" t="inlineStr">
        <is>
          <t>Parameter</t>
        </is>
      </c>
      <c r="B6" s="5" t="inlineStr">
        <is>
          <t>Value</t>
        </is>
      </c>
      <c r="C6" s="5" t="inlineStr">
        <is>
          <t>Unit</t>
        </is>
      </c>
      <c r="D6" s="5" t="inlineStr">
        <is>
          <t>Basis / source</t>
        </is>
      </c>
      <c r="E6" s="5" t="inlineStr">
        <is>
          <t>Status</t>
        </is>
      </c>
    </row>
    <row r="7">
      <c r="A7" t="inlineStr">
        <is>
          <t>Target protein load per cycle</t>
        </is>
      </c>
      <c r="B7" s="10" t="n">
        <v>10</v>
      </c>
      <c r="C7" t="inlineStr">
        <is>
          <t>kg/cycle</t>
        </is>
      </c>
      <c r="D7" s="2" t="inlineStr">
        <is>
          <t>User sizing value; interpreted as target protein mass loaded per chromatography cycle</t>
        </is>
      </c>
      <c r="E7" t="inlineStr">
        <is>
          <t>Provided</t>
        </is>
      </c>
    </row>
    <row r="8">
      <c r="A8" t="inlineStr">
        <is>
          <t>Mass conversion</t>
        </is>
      </c>
      <c r="B8" s="10" t="n">
        <v>1000000</v>
      </c>
      <c r="C8" t="inlineStr">
        <is>
          <t>mg/kg</t>
        </is>
      </c>
      <c r="D8" s="2" t="inlineStr">
        <is>
          <t>Unit conversion constant</t>
        </is>
      </c>
      <c r="E8" t="inlineStr">
        <is>
          <t>Assumption</t>
        </is>
      </c>
    </row>
    <row r="9">
      <c r="A9" t="inlineStr">
        <is>
          <t>Volume conversion</t>
        </is>
      </c>
      <c r="B9" s="10" t="n">
        <v>1000</v>
      </c>
      <c r="C9" t="inlineStr">
        <is>
          <t>mL/L</t>
        </is>
      </c>
      <c r="D9" s="2" t="inlineStr">
        <is>
          <t>Unit conversion constant</t>
        </is>
      </c>
      <c r="E9" t="inlineStr">
        <is>
          <t>Assumption</t>
        </is>
      </c>
    </row>
    <row r="10">
      <c r="A10" t="inlineStr">
        <is>
          <t>Volume conversion</t>
        </is>
      </c>
      <c r="B10" s="10" t="n">
        <v>1000</v>
      </c>
      <c r="C10" t="inlineStr">
        <is>
          <t>L/m³</t>
        </is>
      </c>
      <c r="D10" s="2" t="inlineStr">
        <is>
          <t>Unit conversion constant</t>
        </is>
      </c>
      <c r="E10" t="inlineStr">
        <is>
          <t>Assumption</t>
        </is>
      </c>
    </row>
    <row r="11">
      <c r="A11" t="inlineStr">
        <is>
          <t>Conservative usable resin capacity</t>
        </is>
      </c>
      <c r="B11" s="10" t="n">
        <v>25</v>
      </c>
      <c r="C11" t="inlineStr">
        <is>
          <t>mg/mL</t>
        </is>
      </c>
      <c r="D11" s="2" t="inlineStr">
        <is>
          <t>Validated DIR lower boundary used for conservative screening; actual requirement is greater than this value</t>
        </is>
      </c>
      <c r="E11" t="inlineStr">
        <is>
          <t>Provided</t>
        </is>
      </c>
    </row>
    <row r="12">
      <c r="A12" t="inlineStr">
        <is>
          <t>Upper usable resin capacity</t>
        </is>
      </c>
      <c r="B12" s="10" t="n">
        <v>50</v>
      </c>
      <c r="C12" t="inlineStr">
        <is>
          <t>mg/mL</t>
        </is>
      </c>
      <c r="D12" s="2" t="inlineStr">
        <is>
          <t>Validated DIR upper endpoint</t>
        </is>
      </c>
      <c r="E12" t="inlineStr">
        <is>
          <t>Provided</t>
        </is>
      </c>
    </row>
    <row r="13">
      <c r="A13" t="inlineStr">
        <is>
          <t>DIR minimum bed-height boundary</t>
        </is>
      </c>
      <c r="B13" s="10" t="n">
        <v>0.25</v>
      </c>
      <c r="C13" t="inlineStr">
        <is>
          <t>m</t>
        </is>
      </c>
      <c r="D13" s="2" t="inlineStr">
        <is>
          <t>Validated DIR requires greater than 25 cm</t>
        </is>
      </c>
      <c r="E13" t="inlineStr">
        <is>
          <t>Provided</t>
        </is>
      </c>
    </row>
    <row r="14">
      <c r="A14" t="inlineStr">
        <is>
          <t>DIR maximum packed-bed height</t>
        </is>
      </c>
      <c r="B14" s="10" t="n">
        <v>0.4</v>
      </c>
      <c r="C14" t="inlineStr">
        <is>
          <t>m</t>
        </is>
      </c>
      <c r="D14" s="2" t="inlineStr">
        <is>
          <t>Validated DIR upper endpoint of 40 cm</t>
        </is>
      </c>
      <c r="E14" t="inlineStr">
        <is>
          <t>Provided</t>
        </is>
      </c>
    </row>
    <row r="15">
      <c r="A15" t="inlineStr">
        <is>
          <t>Selected screening packed-bed height</t>
        </is>
      </c>
      <c r="B15" s="10" t="n">
        <v>0.3</v>
      </c>
      <c r="C15" t="inlineStr">
        <is>
          <t>m</t>
        </is>
      </c>
      <c r="D15" s="2" t="inlineStr">
        <is>
          <t>Screening selection within the validated DIR range</t>
        </is>
      </c>
      <c r="E15" t="inlineStr">
        <is>
          <t>Assumption</t>
        </is>
      </c>
    </row>
    <row r="16">
      <c r="A16" t="inlineStr">
        <is>
          <t>DIR minimum residence-time boundary</t>
        </is>
      </c>
      <c r="B16" s="10" t="n">
        <v>3</v>
      </c>
      <c r="C16" t="inlineStr">
        <is>
          <t>min</t>
        </is>
      </c>
      <c r="D16" s="2" t="inlineStr">
        <is>
          <t>Validated DIR requires greater than 3 min</t>
        </is>
      </c>
      <c r="E16" t="inlineStr">
        <is>
          <t>Provided</t>
        </is>
      </c>
    </row>
    <row r="17">
      <c r="A17" t="inlineStr">
        <is>
          <t>DIR maximum loading residence time</t>
        </is>
      </c>
      <c r="B17" s="10" t="n">
        <v>6</v>
      </c>
      <c r="C17" t="inlineStr">
        <is>
          <t>min</t>
        </is>
      </c>
      <c r="D17" s="2" t="inlineStr">
        <is>
          <t>Validated DIR upper endpoint</t>
        </is>
      </c>
      <c r="E17" t="inlineStr">
        <is>
          <t>Provided</t>
        </is>
      </c>
    </row>
    <row r="18">
      <c r="A18" t="inlineStr">
        <is>
          <t>Selected screening loading residence time</t>
        </is>
      </c>
      <c r="B18" s="10" t="n">
        <v>6</v>
      </c>
      <c r="C18" t="inlineStr">
        <is>
          <t>min</t>
        </is>
      </c>
      <c r="D18" s="2" t="inlineStr">
        <is>
          <t>Conservative screening selection; must align with confirmed capacity data</t>
        </is>
      </c>
      <c r="E18" t="inlineStr">
        <is>
          <t>Assumption</t>
        </is>
      </c>
    </row>
    <row r="19">
      <c r="A19" t="inlineStr">
        <is>
          <t>Preliminary minimum column pressure rating</t>
        </is>
      </c>
      <c r="B19" s="10" t="n">
        <v>5</v>
      </c>
      <c r="C19" t="inlineStr">
        <is>
          <t>barg</t>
        </is>
      </c>
      <c r="D19" s="2" t="inlineStr">
        <is>
          <t>Selected screening rating corresponding to the upper end of the validated &gt;3 to 5 bar class; rating definition remains unresolved</t>
        </is>
      </c>
      <c r="E19" t="inlineStr">
        <is>
          <t>Vendor confirm</t>
        </is>
      </c>
    </row>
    <row r="20">
      <c r="A20" t="inlineStr">
        <is>
          <t>Selected main inlet and outlet nominal size</t>
        </is>
      </c>
      <c r="B20" s="10" t="n">
        <v>2</v>
      </c>
      <c r="C20" t="inlineStr">
        <is>
          <t>in</t>
        </is>
      </c>
      <c r="D20" s="2" t="inlineStr">
        <is>
          <t>Preliminary DN50 sanitary connection selection</t>
        </is>
      </c>
      <c r="E20" t="inlineStr">
        <is>
          <t>Assumption</t>
        </is>
      </c>
    </row>
    <row r="21">
      <c r="A21" t="inlineStr">
        <is>
          <t>Assumed main connection bore</t>
        </is>
      </c>
      <c r="B21" s="10" t="n">
        <v>0.0475</v>
      </c>
      <c r="C21" t="inlineStr">
        <is>
          <t>m</t>
        </is>
      </c>
      <c r="D21" s="2" t="inlineStr">
        <is>
          <t>Approximate bore used for preliminary connection velocity calculation</t>
        </is>
      </c>
      <c r="E21" t="inlineStr">
        <is>
          <t>Assumption</t>
        </is>
      </c>
    </row>
    <row r="22">
      <c r="A22" t="inlineStr">
        <is>
          <t>Preliminary hygienic liquid-line velocity limit</t>
        </is>
      </c>
      <c r="B22" s="10" t="n">
        <v>2</v>
      </c>
      <c r="C22" t="inlineStr">
        <is>
          <t>m/s</t>
        </is>
      </c>
      <c r="D22" s="2" t="inlineStr">
        <is>
          <t>Upper end of assumed 1–2 m/s screening criterion</t>
        </is>
      </c>
      <c r="E22" t="inlineStr">
        <is>
          <t>Assumption</t>
        </is>
      </c>
    </row>
    <row r="23">
      <c r="A23" t="inlineStr">
        <is>
          <t>Main connection local-loss coefficient</t>
        </is>
      </c>
      <c r="B23" s="10" t="n">
        <v>2</v>
      </c>
      <c r="C23" t="inlineStr">
        <is>
          <t>dimensionless</t>
        </is>
      </c>
      <c r="D23" s="2" t="inlineStr">
        <is>
          <t>Screening allowance excluding distributor, frit, bed, valves, and external piping</t>
        </is>
      </c>
      <c r="E23" t="inlineStr">
        <is>
          <t>Assumption</t>
        </is>
      </c>
    </row>
    <row r="24">
      <c r="A24" t="inlineStr">
        <is>
          <t>Water-like screening density</t>
        </is>
      </c>
      <c r="B24" s="10" t="n">
        <v>998</v>
      </c>
      <c r="C24" t="inlineStr">
        <is>
          <t>kg/m³</t>
        </is>
      </c>
      <c r="D24" s="2" t="inlineStr">
        <is>
          <t>Water at 20 °C; reference only and not final HIC hydraulic basis</t>
        </is>
      </c>
      <c r="E24" t="inlineStr">
        <is>
          <t>Assumption</t>
        </is>
      </c>
    </row>
    <row r="25">
      <c r="A25" t="inlineStr">
        <is>
          <t>Pressure conversion</t>
        </is>
      </c>
      <c r="B25" s="10" t="n">
        <v>100000</v>
      </c>
      <c r="C25" t="inlineStr">
        <is>
          <t>Pa/bar</t>
        </is>
      </c>
      <c r="D25" s="2" t="inlineStr">
        <is>
          <t>Unit conversion constant</t>
        </is>
      </c>
      <c r="E25" t="inlineStr">
        <is>
          <t>Assumption</t>
        </is>
      </c>
    </row>
    <row r="26">
      <c r="A26" t="inlineStr">
        <is>
          <t>Selected vent nominal size</t>
        </is>
      </c>
      <c r="B26" s="10" t="n">
        <v>1</v>
      </c>
      <c r="C26" t="inlineStr">
        <is>
          <t>in</t>
        </is>
      </c>
      <c r="D26" s="2" t="inlineStr">
        <is>
          <t>Preliminary DN25 sanitary vent selection</t>
        </is>
      </c>
      <c r="E26" t="inlineStr">
        <is>
          <t>Assumption</t>
        </is>
      </c>
    </row>
    <row r="27">
      <c r="A27" t="inlineStr">
        <is>
          <t>Assumed vent bore</t>
        </is>
      </c>
      <c r="B27" s="10" t="n">
        <v>0.022</v>
      </c>
      <c r="C27" t="inlineStr">
        <is>
          <t>m</t>
        </is>
      </c>
      <c r="D27" s="2" t="inlineStr">
        <is>
          <t>Approximate bore for displacement-air velocity screening</t>
        </is>
      </c>
      <c r="E27" t="inlineStr">
        <is>
          <t>Assumption</t>
        </is>
      </c>
    </row>
    <row r="28">
      <c r="A28" t="inlineStr">
        <is>
          <t>Selected flush pressure-port nominal size</t>
        </is>
      </c>
      <c r="B28" s="10" t="n">
        <v>1.5</v>
      </c>
      <c r="C28" t="inlineStr">
        <is>
          <t>in</t>
        </is>
      </c>
      <c r="D28" s="2" t="inlineStr">
        <is>
          <t>Preliminary DN40 flush diaphragm-seal interface</t>
        </is>
      </c>
      <c r="E28" t="inlineStr">
        <is>
          <t>Assumption</t>
        </is>
      </c>
    </row>
    <row r="29">
      <c r="A29" t="inlineStr">
        <is>
          <t>Selected slurry-port nominal size</t>
        </is>
      </c>
      <c r="B29" s="10" t="n">
        <v>3</v>
      </c>
      <c r="C29" t="inlineStr">
        <is>
          <t>in</t>
        </is>
      </c>
      <c r="D29" s="2" t="inlineStr">
        <is>
          <t>Preliminary DN80 packing and unpacking connection</t>
        </is>
      </c>
      <c r="E29" t="inlineStr">
        <is>
          <t>Assumption</t>
        </is>
      </c>
    </row>
    <row r="30">
      <c r="A30" t="inlineStr">
        <is>
          <t>Assumed slurry-port bore</t>
        </is>
      </c>
      <c r="B30" s="10" t="n">
        <v>0.073</v>
      </c>
      <c r="C30" t="inlineStr">
        <is>
          <t>m</t>
        </is>
      </c>
      <c r="D30" s="2" t="inlineStr">
        <is>
          <t>Approximate bore used for slurry velocity screening</t>
        </is>
      </c>
      <c r="E30" t="inlineStr">
        <is>
          <t>Assumption</t>
        </is>
      </c>
    </row>
    <row r="31">
      <c r="A31" t="inlineStr">
        <is>
          <t>Settled resin fraction in transfer slurry</t>
        </is>
      </c>
      <c r="B31" s="10" t="n">
        <v>0.5</v>
      </c>
      <c r="C31" t="inlineStr">
        <is>
          <t>fraction</t>
        </is>
      </c>
      <c r="D31" s="2" t="inlineStr">
        <is>
          <t>Preliminary slurry-volume assumption</t>
        </is>
      </c>
      <c r="E31" t="inlineStr">
        <is>
          <t>Assumption</t>
        </is>
      </c>
    </row>
    <row r="32">
      <c r="A32" t="inlineStr">
        <is>
          <t>Assumed resin slurry transfer flow</t>
        </is>
      </c>
      <c r="B32" s="10" t="n">
        <v>200</v>
      </c>
      <c r="C32" t="inlineStr">
        <is>
          <t>L/min</t>
        </is>
      </c>
      <c r="D32" s="2" t="inlineStr">
        <is>
          <t>Preliminary transfer-rate assumption</t>
        </is>
      </c>
      <c r="E32" t="inlineStr">
        <is>
          <t>Assumption</t>
        </is>
      </c>
    </row>
    <row r="33">
      <c r="A33" t="inlineStr">
        <is>
          <t>Optional outlet sample-port nominal size</t>
        </is>
      </c>
      <c r="B33" s="10" t="n">
        <v>0.5</v>
      </c>
      <c r="C33" t="inlineStr">
        <is>
          <t>in</t>
        </is>
      </c>
      <c r="D33" s="2" t="inlineStr">
        <is>
          <t>Common minimum sanitary sample connection; omit if skid sampling is provided</t>
        </is>
      </c>
      <c r="E33" t="inlineStr">
        <is>
          <t>Assumption</t>
        </is>
      </c>
    </row>
    <row r="34">
      <c r="A34" t="inlineStr">
        <is>
          <t>Estimated installed width</t>
        </is>
      </c>
      <c r="B34" s="10" t="n">
        <v>2.2</v>
      </c>
      <c r="C34" t="inlineStr">
        <is>
          <t>m</t>
        </is>
      </c>
      <c r="D34" s="2" t="inlineStr">
        <is>
          <t>Supplied generic benchmark based on a nonselected 1.60 m ID by 0.20 m bed geometry; must be rebased</t>
        </is>
      </c>
      <c r="E34" t="inlineStr">
        <is>
          <t>Vendor confirm</t>
        </is>
      </c>
    </row>
    <row r="35">
      <c r="A35" t="inlineStr">
        <is>
          <t>Estimated installed depth</t>
        </is>
      </c>
      <c r="B35" s="10" t="n">
        <v>2.2</v>
      </c>
      <c r="C35" t="inlineStr">
        <is>
          <t>m</t>
        </is>
      </c>
      <c r="D35" s="2" t="inlineStr">
        <is>
          <t>Supplied generic benchmark; not a certified catalog dimension</t>
        </is>
      </c>
      <c r="E35" t="inlineStr">
        <is>
          <t>Vendor confirm</t>
        </is>
      </c>
    </row>
    <row r="36">
      <c r="A36" t="inlineStr">
        <is>
          <t>Estimated installed height</t>
        </is>
      </c>
      <c r="B36" s="10" t="n">
        <v>3</v>
      </c>
      <c r="C36" t="inlineStr">
        <is>
          <t>m</t>
        </is>
      </c>
      <c r="D36" s="2" t="inlineStr">
        <is>
          <t>Supplied generic benchmark; not a certified catalog dimension</t>
        </is>
      </c>
      <c r="E36" t="inlineStr">
        <is>
          <t>Vendor confirm</t>
        </is>
      </c>
    </row>
    <row r="37">
      <c r="A37" t="inlineStr">
        <is>
          <t>Estimated operating-space width</t>
        </is>
      </c>
      <c r="B37" s="10" t="n">
        <v>4.2</v>
      </c>
      <c r="C37" t="inlineStr">
        <is>
          <t>m</t>
        </is>
      </c>
      <c r="D37" s="2" t="inlineStr">
        <is>
          <t>Generic planning estimate including working clearance</t>
        </is>
      </c>
      <c r="E37" t="inlineStr">
        <is>
          <t>Assumption</t>
        </is>
      </c>
    </row>
    <row r="38">
      <c r="A38" t="inlineStr">
        <is>
          <t>Estimated operating-space depth</t>
        </is>
      </c>
      <c r="B38" s="10" t="n">
        <v>4.2</v>
      </c>
      <c r="C38" t="inlineStr">
        <is>
          <t>m</t>
        </is>
      </c>
      <c r="D38" s="2" t="inlineStr">
        <is>
          <t>Generic planning estimate including working clearance</t>
        </is>
      </c>
      <c r="E38" t="inlineStr">
        <is>
          <t>Assumption</t>
        </is>
      </c>
    </row>
    <row r="39">
      <c r="A39" t="inlineStr">
        <is>
          <t>Estimated operating-space height</t>
        </is>
      </c>
      <c r="B39" s="10" t="n">
        <v>4.5</v>
      </c>
      <c r="C39" t="inlineStr">
        <is>
          <t>m</t>
        </is>
      </c>
      <c r="D39" s="2" t="inlineStr">
        <is>
          <t>Generic planning estimate including overhead maintenance clearance</t>
        </is>
      </c>
      <c r="E39" t="inlineStr">
        <is>
          <t>Assumption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pane ySplit="6" topLeftCell="A7" activePane="bottomLeft" state="frozen"/>
      <selection pane="bottomLeft" activeCell="A1" sqref="A1"/>
    </sheetView>
  </sheetViews>
  <sheetFormatPr baseColWidth="8" defaultRowHeight="15"/>
  <cols>
    <col width="36" customWidth="1" min="1" max="1"/>
    <col width="42" customWidth="1" min="2" max="2"/>
    <col width="28" customWidth="1" min="3" max="3"/>
    <col width="22" customWidth="1" min="4" max="4"/>
  </cols>
  <sheetData>
    <row r="1"/>
    <row r="2">
      <c r="A2" s="1" t="inlineStr">
        <is>
          <t>Audit and Traceability</t>
        </is>
      </c>
    </row>
    <row r="3"/>
    <row r="4">
      <c r="A4" s="2" t="inlineStr">
        <is>
          <t>Terminal checks only; no calculation or output depends on this sheet.</t>
        </is>
      </c>
    </row>
    <row r="5"/>
    <row r="6">
      <c r="A6" s="5" t="inlineStr">
        <is>
          <t>Check</t>
        </is>
      </c>
      <c r="B6" s="5" t="inlineStr">
        <is>
          <t>Formula</t>
        </is>
      </c>
      <c r="C6" s="5" t="inlineStr">
        <is>
          <t>Result</t>
        </is>
      </c>
      <c r="D6" s="5" t="inlineStr">
        <is>
          <t>Expected</t>
        </is>
      </c>
    </row>
    <row r="7">
      <c r="A7" t="inlineStr">
        <is>
          <t>Conservative mass-capacity identity</t>
        </is>
      </c>
      <c r="B7" s="2" t="inlineStr">
        <is>
          <t>Compare calculated nominal capacity with the target load</t>
        </is>
      </c>
      <c r="C7" s="11">
        <f>'Sizing Calculations'!C14-'Inputs &amp; Assumptions'!B7</f>
        <v/>
      </c>
      <c r="D7" t="inlineStr">
        <is>
          <t>0</t>
        </is>
      </c>
    </row>
    <row r="8">
      <c r="A8" t="inlineStr">
        <is>
          <t>Packed-bed geometry identity</t>
        </is>
      </c>
      <c r="B8" s="2" t="inlineStr">
        <is>
          <t>Recalculate volume from area and bed height</t>
        </is>
      </c>
      <c r="C8" s="11">
        <f>'Sizing Calculations'!C12*'Inputs &amp; Assumptions'!B15-'Sizing Calculations'!C11</f>
        <v/>
      </c>
      <c r="D8" t="inlineStr">
        <is>
          <t>0</t>
        </is>
      </c>
    </row>
    <row r="9">
      <c r="A9" t="inlineStr">
        <is>
          <t>Circular-diameter identity</t>
        </is>
      </c>
      <c r="B9" s="2" t="inlineStr">
        <is>
          <t>Recalculate circular area from calculated diameter</t>
        </is>
      </c>
      <c r="C9" s="11">
        <f>PI()*'Sizing Calculations'!C13^2/4-'Sizing Calculations'!C12</f>
        <v/>
      </c>
      <c r="D9" t="inlineStr">
        <is>
          <t>0</t>
        </is>
      </c>
    </row>
    <row r="10">
      <c r="A10" t="inlineStr">
        <is>
          <t>Selected loading residence-time identity</t>
        </is>
      </c>
      <c r="B10" s="2" t="inlineStr">
        <is>
          <t>Recalculate packed volume from loading flow and selected residence time</t>
        </is>
      </c>
      <c r="C10" s="11">
        <f>'Sizing Calculations'!C16*'Inputs &amp; Assumptions'!B18-'Sizing Calculations'!C9</f>
        <v/>
      </c>
      <c r="D10" t="inlineStr">
        <is>
          <t>0</t>
        </is>
      </c>
    </row>
    <row r="11">
      <c r="A11" t="inlineStr">
        <is>
          <t>Bed-height DIR check</t>
        </is>
      </c>
      <c r="B11" s="2" t="inlineStr">
        <is>
          <t>Verify selected bed height is greater than the lower boundary and no greater than the upper endpoint</t>
        </is>
      </c>
      <c r="C11" s="11">
        <f>IF(AND('Inputs &amp; Assumptions'!B15&gt;'Inputs &amp; Assumptions'!B13,'Inputs &amp; Assumptions'!B15&lt;='Inputs &amp; Assumptions'!B14),"PASS","FAIL")</f>
        <v/>
      </c>
      <c r="D11" t="inlineStr">
        <is>
          <t>PASS</t>
        </is>
      </c>
    </row>
    <row r="12">
      <c r="A12" t="inlineStr">
        <is>
          <t>Residence-time DIR check</t>
        </is>
      </c>
      <c r="B12" s="2" t="inlineStr">
        <is>
          <t>Verify selected residence time is greater than the lower boundary and no greater than the upper endpoint</t>
        </is>
      </c>
      <c r="C12" s="11">
        <f>IF(AND('Inputs &amp; Assumptions'!B18&gt;'Inputs &amp; Assumptions'!B16,'Inputs &amp; Assumptions'!B18&lt;='Inputs &amp; Assumptions'!B17),"PASS","FAIL")</f>
        <v/>
      </c>
      <c r="D12" t="inlineStr">
        <is>
          <t>PASS</t>
        </is>
      </c>
    </row>
    <row r="13">
      <c r="A13" t="inlineStr">
        <is>
          <t>Main connection velocity check</t>
        </is>
      </c>
      <c r="B13" s="2" t="inlineStr">
        <is>
          <t>Compare calculated main connection velocity with the assumed upper criterion</t>
        </is>
      </c>
      <c r="C13" s="11">
        <f>IF('Sizing Calculations'!C21&lt;='Inputs &amp; Assumptions'!B22,"PASS","FAIL")</f>
        <v/>
      </c>
      <c r="D13" t="inlineStr">
        <is>
          <t>PASS</t>
        </is>
      </c>
    </row>
    <row r="14">
      <c r="A14" t="inlineStr">
        <is>
          <t>Capacity sufficiency check</t>
        </is>
      </c>
      <c r="B14" s="2" t="inlineStr">
        <is>
          <t>Verify nominal conservative mass capacity is at least the target load</t>
        </is>
      </c>
      <c r="C14" s="11">
        <f>IF('Sizing Calculations'!C14&gt;='Inputs &amp; Assumptions'!B7,"PASS","FAIL")</f>
        <v/>
      </c>
      <c r="D14"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2026-10-05T23:48:36Z</dcterms:created>
  <dcterms:modified xmlns:dcterms="http://purl.org/dc/terms/" xmlns:xsi="http://www.w3.org/2001/XMLSchema-instance" xsi:type="dcterms:W3CDTF">2026-10-05T23:48:36Z</dcterms:modified>
</cp:coreProperties>
</file>